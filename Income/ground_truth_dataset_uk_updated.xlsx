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165" fontId="0" fillId="3" borderId="1" applyAlignment="1" pivotButton="0" quotePrefix="0" xfId="0">
      <alignment horizontal="right"/>
    </xf>
    <xf numFmtId="0" fontId="0" fillId="3" borderId="1" pivotButton="0" quotePrefix="0" xfId="0"/>
    <xf numFmtId="0" fontId="2" fillId="0" borderId="2" pivotButton="0" quotePrefix="0" xfId="0"/>
    <xf numFmtId="164" fontId="2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9" customWidth="1" min="4" max="4"/>
    <col width="17" customWidth="1" min="5" max="5"/>
    <col width="12" customWidth="1" min="6" max="6"/>
    <col width="13" customWidth="1" min="7" max="7"/>
    <col width="23" customWidth="1" min="8" max="8"/>
    <col width="15" customWidth="1" min="9" max="9"/>
    <col width="23" customWidth="1" min="10" max="10"/>
    <col width="17" customWidth="1" min="11" max="11"/>
    <col width="92" customWidth="1" min="12" max="12"/>
  </cols>
  <sheetData>
    <row r="1">
      <c r="A1" s="1" t="inlineStr">
        <is>
          <t>Document ID</t>
        </is>
      </c>
      <c r="B1" s="1" t="inlineStr">
        <is>
          <t>Invoice Number</t>
        </is>
      </c>
      <c r="C1" s="1" t="inlineStr">
        <is>
          <t>Date (DD/MM/YYYY)</t>
        </is>
      </c>
      <c r="D1" s="1" t="inlineStr">
        <is>
          <t>Gross Amount (£)</t>
        </is>
      </c>
      <c r="E1" s="1" t="inlineStr">
        <is>
          <t>VAT Amount (£)</t>
        </is>
      </c>
      <c r="F1" s="1" t="inlineStr">
        <is>
          <t>VAT Rate</t>
        </is>
      </c>
      <c r="G1" s="1" t="inlineStr">
        <is>
          <t>CIS Status</t>
        </is>
      </c>
      <c r="H1" s="1" t="inlineStr">
        <is>
          <t>Direct Materials (£)</t>
        </is>
      </c>
      <c r="I1" s="1" t="inlineStr">
        <is>
          <t>CIS Rate (%)</t>
        </is>
      </c>
      <c r="J1" s="1" t="inlineStr">
        <is>
          <t>CIS Tax Withheld (£)</t>
        </is>
      </c>
      <c r="K1" s="1" t="inlineStr">
        <is>
          <t>Net Amount (£)</t>
        </is>
      </c>
      <c r="L1" s="1" t="inlineStr">
        <is>
          <t>Notes / Extraction Edge Cases</t>
        </is>
      </c>
    </row>
    <row r="2">
      <c r="A2" s="2" t="inlineStr">
        <is>
          <t>I001</t>
        </is>
      </c>
      <c r="B2" s="2" t="inlineStr">
        <is>
          <t>691595</t>
        </is>
      </c>
      <c r="C2" s="2" t="inlineStr">
        <is>
          <t>14/07/2026</t>
        </is>
      </c>
      <c r="D2" s="3" t="n">
        <v>16464</v>
      </c>
      <c r="E2" s="3" t="n">
        <v>0</v>
      </c>
      <c r="F2" s="4" t="n">
        <v>0</v>
      </c>
      <c r="G2" s="2" t="b">
        <v>1</v>
      </c>
      <c r="H2" s="3" t="n">
        <v>0</v>
      </c>
      <c r="I2" s="4" t="n">
        <v>0.2</v>
      </c>
      <c r="J2" s="3" t="n">
        <v>3292.8</v>
      </c>
      <c r="K2" s="3" t="n">
        <v>13171.2</v>
      </c>
      <c r="L2" s="5" t="inlineStr">
        <is>
          <t>Guild Commercial Subcontractor Statement (UTR 1306367853, Verification V1349923880)</t>
        </is>
      </c>
    </row>
    <row r="3">
      <c r="A3" s="6" t="inlineStr">
        <is>
          <t>I002</t>
        </is>
      </c>
      <c r="B3" s="6" t="inlineStr">
        <is>
          <t>38577398399</t>
        </is>
      </c>
      <c r="C3" s="6" t="inlineStr">
        <is>
          <t>21/06/2026</t>
        </is>
      </c>
      <c r="D3" s="7" t="n">
        <v>2898.5</v>
      </c>
      <c r="E3" s="7" t="n">
        <v>479.2</v>
      </c>
      <c r="F3" s="8" t="n">
        <v>0.2</v>
      </c>
      <c r="G3" s="6" t="b">
        <v>0</v>
      </c>
      <c r="H3" s="7" t="n">
        <v>0</v>
      </c>
      <c r="I3" s="8" t="n">
        <v>0</v>
      </c>
      <c r="J3" s="7" t="n">
        <v>0</v>
      </c>
      <c r="K3" s="7" t="n">
        <v>2898.5</v>
      </c>
      <c r="L3" s="9" t="inlineStr">
        <is>
          <t>Standard UK invoice</t>
        </is>
      </c>
    </row>
    <row r="4">
      <c r="A4" s="2" t="inlineStr">
        <is>
          <t>I003</t>
        </is>
      </c>
      <c r="B4" s="2" t="inlineStr">
        <is>
          <t>PINV94174</t>
        </is>
      </c>
      <c r="C4" s="2" t="inlineStr">
        <is>
          <t>02/06/2026</t>
        </is>
      </c>
      <c r="D4" s="3" t="n">
        <v>18436.86</v>
      </c>
      <c r="E4" s="3" t="n">
        <v>3072.81</v>
      </c>
      <c r="F4" s="4" t="n">
        <v>0.2</v>
      </c>
      <c r="G4" s="2" t="b">
        <v>0</v>
      </c>
      <c r="H4" s="3" t="n">
        <v>0</v>
      </c>
      <c r="I4" s="4" t="n">
        <v>0</v>
      </c>
      <c r="J4" s="3" t="n">
        <v>0</v>
      </c>
      <c r="K4" s="3" t="n">
        <v>18436.86</v>
      </c>
      <c r="L4" s="5" t="inlineStr">
        <is>
          <t>Standard UK invoice</t>
        </is>
      </c>
    </row>
    <row r="5">
      <c r="A5" s="6" t="inlineStr">
        <is>
          <t>I004</t>
        </is>
      </c>
      <c r="B5" s="6" t="inlineStr">
        <is>
          <t>GS4159Y</t>
        </is>
      </c>
      <c r="C5" s="6" t="inlineStr">
        <is>
          <t>30/01/2026</t>
        </is>
      </c>
      <c r="D5" s="7" t="n">
        <v>15600</v>
      </c>
      <c r="E5" s="7" t="n">
        <v>2600</v>
      </c>
      <c r="F5" s="8" t="n">
        <v>0.2</v>
      </c>
      <c r="G5" s="6" t="b">
        <v>0</v>
      </c>
      <c r="H5" s="7" t="n">
        <v>0</v>
      </c>
      <c r="I5" s="8" t="n">
        <v>0</v>
      </c>
      <c r="J5" s="7" t="n">
        <v>0</v>
      </c>
      <c r="K5" s="7" t="n">
        <v>15600</v>
      </c>
      <c r="L5" s="9" t="inlineStr">
        <is>
          <t>Standard UK invoice</t>
        </is>
      </c>
    </row>
    <row r="6">
      <c r="A6" s="2" t="inlineStr">
        <is>
          <t>I005</t>
        </is>
      </c>
      <c r="B6" s="2" t="inlineStr">
        <is>
          <t>MFQAQC-29-2025</t>
        </is>
      </c>
      <c r="C6" s="2" t="inlineStr">
        <is>
          <t>08/12/2025</t>
        </is>
      </c>
      <c r="D6" s="3" t="n">
        <v>1740</v>
      </c>
      <c r="E6" s="3" t="n">
        <v>290</v>
      </c>
      <c r="F6" s="4" t="n">
        <v>0.2</v>
      </c>
      <c r="G6" s="2" t="b">
        <v>0</v>
      </c>
      <c r="H6" s="3" t="n">
        <v>0</v>
      </c>
      <c r="I6" s="4" t="n">
        <v>0</v>
      </c>
      <c r="J6" s="3" t="n">
        <v>0</v>
      </c>
      <c r="K6" s="3" t="n">
        <v>1740</v>
      </c>
      <c r="L6" s="5" t="inlineStr">
        <is>
          <t>Standard UK invoice</t>
        </is>
      </c>
    </row>
    <row r="7">
      <c r="A7" s="6" t="inlineStr">
        <is>
          <t>I006</t>
        </is>
      </c>
      <c r="B7" s="6" t="inlineStr">
        <is>
          <t>GCS456432</t>
        </is>
      </c>
      <c r="C7" s="6" t="inlineStr">
        <is>
          <t>08/04/2026</t>
        </is>
      </c>
      <c r="D7" s="7" t="n">
        <v>50</v>
      </c>
      <c r="E7" s="7" t="n">
        <v>0</v>
      </c>
      <c r="F7" s="8" t="n">
        <v>0</v>
      </c>
      <c r="G7" s="6" t="b">
        <v>0</v>
      </c>
      <c r="H7" s="7" t="n">
        <v>0</v>
      </c>
      <c r="I7" s="8" t="n">
        <v>0</v>
      </c>
      <c r="J7" s="7" t="n">
        <v>0</v>
      </c>
      <c r="K7" s="7" t="n">
        <v>50</v>
      </c>
      <c r="L7" s="9" t="inlineStr">
        <is>
          <t>0% VAT rate</t>
        </is>
      </c>
    </row>
    <row r="8">
      <c r="A8" s="2" t="inlineStr">
        <is>
          <t>I007</t>
        </is>
      </c>
      <c r="B8" s="2" t="inlineStr">
        <is>
          <t>AG-2023-1108</t>
        </is>
      </c>
      <c r="C8" s="2" t="inlineStr">
        <is>
          <t>08/11/2023</t>
        </is>
      </c>
      <c r="D8" s="3" t="n">
        <v>4680</v>
      </c>
      <c r="E8" s="3" t="n">
        <v>780</v>
      </c>
      <c r="F8" s="4" t="n">
        <v>0.2</v>
      </c>
      <c r="G8" s="2" t="b">
        <v>0</v>
      </c>
      <c r="H8" s="3" t="n">
        <v>0</v>
      </c>
      <c r="I8" s="4" t="n">
        <v>0</v>
      </c>
      <c r="J8" s="3" t="n">
        <v>0</v>
      </c>
      <c r="K8" s="3" t="n">
        <v>4680</v>
      </c>
      <c r="L8" s="5" t="inlineStr">
        <is>
          <t>Standard UK invoice</t>
        </is>
      </c>
    </row>
    <row r="9">
      <c r="A9" s="6" t="inlineStr">
        <is>
          <t>I008</t>
        </is>
      </c>
      <c r="B9" s="6" t="inlineStr">
        <is>
          <t>INV-0001</t>
        </is>
      </c>
      <c r="C9" s="6" t="inlineStr">
        <is>
          <t>01/01/2024</t>
        </is>
      </c>
      <c r="D9" s="7" t="n">
        <v>55</v>
      </c>
      <c r="E9" s="7" t="n">
        <v>10</v>
      </c>
      <c r="F9" s="8" t="n">
        <v>0.2</v>
      </c>
      <c r="G9" s="6" t="b">
        <v>0</v>
      </c>
      <c r="H9" s="7" t="n">
        <v>0</v>
      </c>
      <c r="I9" s="8" t="n">
        <v>0</v>
      </c>
      <c r="J9" s="7" t="n">
        <v>0</v>
      </c>
      <c r="K9" s="7" t="n">
        <v>55</v>
      </c>
      <c r="L9" s="9" t="inlineStr">
        <is>
          <t>European comma decimal formatting used with £ symbol. Discount included.</t>
        </is>
      </c>
    </row>
    <row r="10">
      <c r="A10" s="2" t="inlineStr">
        <is>
          <t>I009</t>
        </is>
      </c>
      <c r="B10" s="2" t="inlineStr">
        <is>
          <t>100-13</t>
        </is>
      </c>
      <c r="C10" s="2" t="inlineStr">
        <is>
          <t>24/08/2021</t>
        </is>
      </c>
      <c r="D10" s="3" t="n">
        <v>744</v>
      </c>
      <c r="E10" s="3" t="n">
        <v>124</v>
      </c>
      <c r="F10" s="4" t="n">
        <v>0.2</v>
      </c>
      <c r="G10" s="2" t="b">
        <v>0</v>
      </c>
      <c r="H10" s="3" t="n">
        <v>0</v>
      </c>
      <c r="I10" s="4" t="n">
        <v>0</v>
      </c>
      <c r="J10" s="3" t="n">
        <v>0</v>
      </c>
      <c r="K10" s="3" t="n">
        <v>744</v>
      </c>
      <c r="L10" s="5" t="inlineStr">
        <is>
          <t>Explicit GBP currency suffix on amounts.</t>
        </is>
      </c>
    </row>
    <row r="11">
      <c r="A11" s="6" t="inlineStr">
        <is>
          <t>I010</t>
        </is>
      </c>
      <c r="B11" s="6" t="inlineStr">
        <is>
          <t>2022006</t>
        </is>
      </c>
      <c r="C11" s="6" t="inlineStr">
        <is>
          <t>30/06/2022</t>
        </is>
      </c>
      <c r="D11" s="7" t="n">
        <v>70</v>
      </c>
      <c r="E11" s="7" t="n">
        <v>0</v>
      </c>
      <c r="F11" s="8" t="n">
        <v>0</v>
      </c>
      <c r="G11" s="6" t="b">
        <v>0</v>
      </c>
      <c r="H11" s="7" t="n">
        <v>0</v>
      </c>
      <c r="I11" s="8" t="n">
        <v>0</v>
      </c>
      <c r="J11" s="7" t="n">
        <v>0</v>
      </c>
      <c r="K11" s="7" t="n">
        <v>70</v>
      </c>
      <c r="L11" s="9" t="inlineStr">
        <is>
          <t>No VAT specified. European decimal comma used before £ symbol (70,00 £).</t>
        </is>
      </c>
    </row>
    <row r="12">
      <c r="A12" s="2" t="inlineStr">
        <is>
          <t>I011</t>
        </is>
      </c>
      <c r="B12" s="2" t="inlineStr">
        <is>
          <t>1425</t>
        </is>
      </c>
      <c r="C12" s="2" t="inlineStr">
        <is>
          <t>05/03/2021</t>
        </is>
      </c>
      <c r="D12" s="3" t="n">
        <v>2352</v>
      </c>
      <c r="E12" s="3" t="n">
        <v>392</v>
      </c>
      <c r="F12" s="4" t="n">
        <v>0.2</v>
      </c>
      <c r="G12" s="2" t="b">
        <v>0</v>
      </c>
      <c r="H12" s="3" t="n">
        <v>0</v>
      </c>
      <c r="I12" s="4" t="n">
        <v>0</v>
      </c>
      <c r="J12" s="3" t="n">
        <v>0</v>
      </c>
      <c r="K12" s="3" t="n">
        <v>2352</v>
      </c>
      <c r="L12" s="5" t="inlineStr">
        <is>
          <t>Includes amount spelled out in text below line items.</t>
        </is>
      </c>
    </row>
    <row r="13">
      <c r="A13" s="6" t="inlineStr">
        <is>
          <t>I012</t>
        </is>
      </c>
      <c r="B13" s="6" t="inlineStr">
        <is>
          <t>1234</t>
        </is>
      </c>
      <c r="C13" s="6" t="inlineStr">
        <is>
          <t>18/03/2021</t>
        </is>
      </c>
      <c r="D13" s="7" t="n">
        <v>1620</v>
      </c>
      <c r="E13" s="7" t="n">
        <v>270</v>
      </c>
      <c r="F13" s="8" t="n">
        <v>0.2</v>
      </c>
      <c r="G13" s="6" t="b">
        <v>0</v>
      </c>
      <c r="H13" s="7" t="n">
        <v>0</v>
      </c>
      <c r="I13" s="8" t="n">
        <v>0</v>
      </c>
      <c r="J13" s="7" t="n">
        <v>0</v>
      </c>
      <c r="K13" s="7" t="n">
        <v>1620</v>
      </c>
      <c r="L13" s="9" t="inlineStr">
        <is>
          <t>European spacing in thousands (1 050,00 / 1 620,00).</t>
        </is>
      </c>
    </row>
    <row r="14">
      <c r="A14" s="2" t="inlineStr">
        <is>
          <t>I013</t>
        </is>
      </c>
      <c r="B14" s="2" t="inlineStr">
        <is>
          <t>2021-004</t>
        </is>
      </c>
      <c r="C14" s="2" t="inlineStr">
        <is>
          <t>23/02/2021</t>
        </is>
      </c>
      <c r="D14" s="3" t="n">
        <v>900</v>
      </c>
      <c r="E14" s="3" t="n">
        <v>150</v>
      </c>
      <c r="F14" s="4" t="n">
        <v>0.2</v>
      </c>
      <c r="G14" s="2" t="b">
        <v>0</v>
      </c>
      <c r="H14" s="3" t="n">
        <v>0</v>
      </c>
      <c r="I14" s="4" t="n">
        <v>0</v>
      </c>
      <c r="J14" s="3" t="n">
        <v>0</v>
      </c>
      <c r="K14" s="3" t="n">
        <v>900</v>
      </c>
      <c r="L14" s="5" t="inlineStr">
        <is>
          <t>Includes QR code and SumUp payment integration layout.</t>
        </is>
      </c>
    </row>
    <row r="15">
      <c r="A15" s="6" t="inlineStr">
        <is>
          <t>I014</t>
        </is>
      </c>
      <c r="B15" s="6" t="inlineStr">
        <is>
          <t>06</t>
        </is>
      </c>
      <c r="C15" s="6" t="inlineStr">
        <is>
          <t>01/07/2023</t>
        </is>
      </c>
      <c r="D15" s="7" t="n">
        <v>144</v>
      </c>
      <c r="E15" s="7" t="n">
        <v>24</v>
      </c>
      <c r="F15" s="8" t="n">
        <v>0.2</v>
      </c>
      <c r="G15" s="6" t="b">
        <v>0</v>
      </c>
      <c r="H15" s="7" t="n">
        <v>0</v>
      </c>
      <c r="I15" s="8" t="n">
        <v>0</v>
      </c>
      <c r="J15" s="7" t="n">
        <v>0</v>
      </c>
      <c r="K15" s="7" t="n">
        <v>144</v>
      </c>
      <c r="L15" s="9" t="inlineStr">
        <is>
          <t>Standard UK invoice layout with Net/VAT explicit breakdown.</t>
        </is>
      </c>
    </row>
    <row r="16">
      <c r="A16" s="2" t="inlineStr">
        <is>
          <t>I015</t>
        </is>
      </c>
      <c r="B16" s="2" t="inlineStr">
        <is>
          <t>J514 / MCFENTON</t>
        </is>
      </c>
      <c r="C16" s="2" t="inlineStr">
        <is>
          <t>05/07/2026</t>
        </is>
      </c>
      <c r="D16" s="3" t="n">
        <v>8728.5</v>
      </c>
      <c r="E16" s="3" t="n">
        <v>0</v>
      </c>
      <c r="F16" s="4" t="n">
        <v>0</v>
      </c>
      <c r="G16" s="2" t="b">
        <v>1</v>
      </c>
      <c r="H16" s="3" t="n">
        <v>0</v>
      </c>
      <c r="I16" s="4" t="n">
        <v>0.2</v>
      </c>
      <c r="J16" s="3" t="n">
        <v>1745.7</v>
      </c>
      <c r="K16" s="3" t="n">
        <v>6982.8</v>
      </c>
      <c r="L16" s="5" t="inlineStr">
        <is>
          <t>Wessex Window Systems CIS Payment Statement (Period 06/06/2026 to 05/07/2026)</t>
        </is>
      </c>
    </row>
    <row r="17">
      <c r="A17" s="6" t="inlineStr">
        <is>
          <t>I016</t>
        </is>
      </c>
      <c r="B17" s="6" t="inlineStr">
        <is>
          <t>OSJ001 / 302250</t>
        </is>
      </c>
      <c r="C17" s="6" t="inlineStr">
        <is>
          <t>08/04/2026</t>
        </is>
      </c>
      <c r="D17" s="7" t="n">
        <v>1660</v>
      </c>
      <c r="E17" s="7" t="n">
        <v>0</v>
      </c>
      <c r="F17" s="8" t="n">
        <v>0</v>
      </c>
      <c r="G17" s="6" t="b">
        <v>1</v>
      </c>
      <c r="H17" s="7" t="n">
        <v>0</v>
      </c>
      <c r="I17" s="8" t="n">
        <v>0.2</v>
      </c>
      <c r="J17" s="7" t="n">
        <v>330.61</v>
      </c>
      <c r="K17" s="7" t="n">
        <v>1322.44</v>
      </c>
      <c r="L17" s="9" t="inlineStr">
        <is>
          <t>Dunraven Remittance Advice (20% CIS deduction £330.61 + £6.95 credit note tracker charge)</t>
        </is>
      </c>
    </row>
    <row r="18">
      <c r="A18" s="2" t="inlineStr">
        <is>
          <t>I017</t>
        </is>
      </c>
      <c r="B18" s="2" t="inlineStr">
        <is>
          <t>MCU / Inv 7-10</t>
        </is>
      </c>
      <c r="C18" s="2" t="inlineStr">
        <is>
          <t>05/06/2026</t>
        </is>
      </c>
      <c r="D18" s="3" t="n">
        <v>6522.99</v>
      </c>
      <c r="E18" s="3" t="n">
        <v>0</v>
      </c>
      <c r="F18" s="4" t="n">
        <v>0</v>
      </c>
      <c r="G18" s="2" t="b">
        <v>1</v>
      </c>
      <c r="H18" s="3" t="n">
        <v>0</v>
      </c>
      <c r="I18" s="4" t="n">
        <v>0.2</v>
      </c>
      <c r="J18" s="3" t="n">
        <v>1304.59</v>
      </c>
      <c r="K18" s="3" t="n">
        <v>5218.4</v>
      </c>
      <c r="L18" s="5" t="inlineStr">
        <is>
          <t>MCU Ltd CIS Payment &amp; Deduction Statement (Period 06/05/2026 to 05/06/2026)</t>
        </is>
      </c>
    </row>
    <row r="19">
      <c r="A19" s="10" t="inlineStr">
        <is>
          <t>Total</t>
        </is>
      </c>
      <c r="B19" s="10" t="n"/>
      <c r="C19" s="10" t="n"/>
      <c r="D19" s="11">
        <f>SUM(D2:D18)</f>
        <v/>
      </c>
      <c r="E19" s="11">
        <f>SUM(E2:E18)</f>
        <v/>
      </c>
      <c r="F19" s="10" t="n"/>
      <c r="G19" s="10" t="n"/>
      <c r="H19" s="11">
        <f>SUM(H2:H18)</f>
        <v/>
      </c>
      <c r="I19" s="10" t="n"/>
      <c r="J19" s="11">
        <f>SUM(J2:J18)</f>
        <v/>
      </c>
      <c r="K19" s="11">
        <f>SUM(K2:K18)</f>
        <v/>
      </c>
      <c r="L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2026-08-23T21:51:29Z</dcterms:created>
  <dcterms:modified xmlns:dcterms="http://purl.org/dc/terms/" xmlns:xsi="http://www.w3.org/2001/XMLSchema-instance" xsi:type="dcterms:W3CDTF">2026-09-06T18:11:05Z</dcterms:modified>
</cp:coreProperties>
</file>